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it9\Downloads\"/>
    </mc:Choice>
  </mc:AlternateContent>
  <xr:revisionPtr revIDLastSave="0" documentId="8_{5AC2EA90-C11F-4161-9626-AA5E7C5FD917}" xr6:coauthVersionLast="47" xr6:coauthVersionMax="47" xr10:uidLastSave="{00000000-0000-0000-0000-000000000000}"/>
  <bookViews>
    <workbookView xWindow="-108" yWindow="-108" windowWidth="23256" windowHeight="12456" firstSheet="2" activeTab="2" xr2:uid="{BF2E566C-C60B-4A43-8572-FA5FEC60B12C}"/>
  </bookViews>
  <sheets>
    <sheet name="1" sheetId="2" r:id="rId1"/>
    <sheet name="2" sheetId="1" r:id="rId2"/>
    <sheet name="3" sheetId="3" r:id="rId3"/>
    <sheet name="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D7" i="4" a="1"/>
  <c r="D7" i="4" s="1"/>
  <c r="E7" i="4" a="1"/>
  <c r="E7" i="4" s="1"/>
  <c r="C7" i="4" a="1"/>
  <c r="C7" i="4" s="1"/>
  <c r="D6" i="4"/>
  <c r="C6" i="4"/>
  <c r="C11" i="3"/>
  <c r="C12" i="3" s="1"/>
  <c r="E7" i="1"/>
  <c r="E8" i="1"/>
  <c r="E9" i="1"/>
  <c r="E10" i="1"/>
  <c r="E6" i="1"/>
  <c r="D5" i="4"/>
  <c r="D22" i="4"/>
  <c r="D21" i="4"/>
  <c r="D20" i="4"/>
  <c r="D19" i="4"/>
  <c r="D18" i="4"/>
  <c r="D17" i="4"/>
  <c r="D16" i="4"/>
  <c r="D15" i="4"/>
  <c r="D14" i="4"/>
  <c r="D13" i="4"/>
  <c r="D12" i="4"/>
  <c r="D11" i="4"/>
  <c r="C14" i="3"/>
  <c r="C13" i="3" l="1"/>
  <c r="C15" i="3" s="1"/>
  <c r="E5" i="4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<sst xmlns="http://schemas.openxmlformats.org/spreadsheetml/2006/main" count="121" uniqueCount="79">
  <si>
    <t>Q1) Instructions</t>
  </si>
  <si>
    <t>Step 1: Highlight in red the 10 lowest orders</t>
  </si>
  <si>
    <t>ID</t>
  </si>
  <si>
    <t>Name</t>
  </si>
  <si>
    <t>Brand</t>
  </si>
  <si>
    <t>Units</t>
  </si>
  <si>
    <t>Bill Smith</t>
  </si>
  <si>
    <t>Nike</t>
  </si>
  <si>
    <t>Kennedi Singh</t>
  </si>
  <si>
    <t>Armani</t>
  </si>
  <si>
    <t>Harley Fritz</t>
  </si>
  <si>
    <t>Nyla Novak</t>
  </si>
  <si>
    <t>Ivan Hines</t>
  </si>
  <si>
    <t>Puma</t>
  </si>
  <si>
    <t>Jonah Higgins</t>
  </si>
  <si>
    <t>Asics</t>
  </si>
  <si>
    <t>Jordan Boone</t>
  </si>
  <si>
    <t>Kylee Townsend</t>
  </si>
  <si>
    <t>Nora Rollins</t>
  </si>
  <si>
    <t>Brendan Walls</t>
  </si>
  <si>
    <t>Steven Michael</t>
  </si>
  <si>
    <t>Lucia Mckay</t>
  </si>
  <si>
    <t>Josue Roach</t>
  </si>
  <si>
    <t>Franklin Wright</t>
  </si>
  <si>
    <t>Denzel Flores</t>
  </si>
  <si>
    <t>Bruno Cordova</t>
  </si>
  <si>
    <t>Uniqlo</t>
  </si>
  <si>
    <t>Jaylynn Knapp</t>
  </si>
  <si>
    <t>Bruce Rich</t>
  </si>
  <si>
    <t>Bryce Carpenter</t>
  </si>
  <si>
    <t>Jaidyn Andersen</t>
  </si>
  <si>
    <t>Warren Munger</t>
  </si>
  <si>
    <t>Charlie Buffett</t>
  </si>
  <si>
    <t>Kobe James</t>
  </si>
  <si>
    <t>Jordan Bryant</t>
  </si>
  <si>
    <t>Tom Manning</t>
  </si>
  <si>
    <t>Peyton Brady</t>
  </si>
  <si>
    <t>Bob Builder</t>
  </si>
  <si>
    <t>Messi Ronaldo</t>
  </si>
  <si>
    <t>Roger Nadal</t>
  </si>
  <si>
    <t>Rafael Federer</t>
  </si>
  <si>
    <t>Sam Smith</t>
  </si>
  <si>
    <t>Ed Mars</t>
  </si>
  <si>
    <t>Q2) Instructions</t>
  </si>
  <si>
    <t>Fill orange area using a formula that can be copied down to accept or reject a project based on the mimimum requirements</t>
  </si>
  <si>
    <t>Projects</t>
  </si>
  <si>
    <t>Revenue Est.</t>
  </si>
  <si>
    <t>Profit Est.</t>
  </si>
  <si>
    <t>Decision</t>
  </si>
  <si>
    <t>Minimum Requirements</t>
  </si>
  <si>
    <t>Project A</t>
  </si>
  <si>
    <t>Revenue</t>
  </si>
  <si>
    <t>Project B</t>
  </si>
  <si>
    <t>Profit</t>
  </si>
  <si>
    <t>Project C</t>
  </si>
  <si>
    <t>Project D</t>
  </si>
  <si>
    <t>Project E</t>
  </si>
  <si>
    <t>Q3) Instructions</t>
  </si>
  <si>
    <t>Find the number of shirts we need to sell to reach $5,000 in profit</t>
  </si>
  <si>
    <t>Assumptions</t>
  </si>
  <si>
    <t>Price per shirt</t>
  </si>
  <si>
    <t>Cost per Unit</t>
  </si>
  <si>
    <t>Fixed Cost</t>
  </si>
  <si>
    <t>Profitability</t>
  </si>
  <si>
    <t>Units Sold</t>
  </si>
  <si>
    <t>&lt;- Change units to reach 5k in profit</t>
  </si>
  <si>
    <t>Variable Cost</t>
  </si>
  <si>
    <t>Q4) Instructions</t>
  </si>
  <si>
    <t>Use 2 different formulas to find the revenue for France in each month</t>
  </si>
  <si>
    <t>Country</t>
  </si>
  <si>
    <t>France</t>
  </si>
  <si>
    <t>&lt;- Insert first formula</t>
  </si>
  <si>
    <t>&lt;- Insert second formula</t>
  </si>
  <si>
    <t>Date</t>
  </si>
  <si>
    <t>Quantity</t>
  </si>
  <si>
    <t>Price</t>
  </si>
  <si>
    <t>Mexico</t>
  </si>
  <si>
    <t>United States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</si>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</sst>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$-409]#,##0"/>
    <numFmt numFmtId="166" formatCode="_(* #,##0_);_(* \(#,##0\);_(* &quot;-&quot;??_);_(@_)"/>
    <numFmt numFmtId="167" formatCode="[$$-409]#,##0.00"/>
    <numFmt numFmtId="168" formatCode="_(* #,##0.0_);_(* \(#,##0.0\);_(* &quot;-&quot;??_);_(@_)"/>
  </numFmts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2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3" fillId="3" borderId="0" xfId="0" applyFont="1" applyFill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/>
    <xf numFmtId="6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wrapText="1"/>
    </xf>
    <xf numFmtId="3" fontId="0" fillId="0" borderId="0" xfId="1" applyNumberFormat="1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166" fontId="5" fillId="0" borderId="0" xfId="1" applyNumberFormat="1" applyFont="1"/>
    <xf numFmtId="43" fontId="5" fillId="0" borderId="0" xfId="1" applyNumberFormat="1" applyFont="1"/>
    <xf numFmtId="0" fontId="0" fillId="0" borderId="0" xfId="0" applyAlignment="1">
      <alignment horizontal="left" indent="1"/>
    </xf>
    <xf numFmtId="166" fontId="2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6" borderId="1" xfId="0" applyFont="1" applyFill="1" applyBorder="1" applyAlignment="1">
      <alignment horizontal="left"/>
    </xf>
    <xf numFmtId="166" fontId="4" fillId="6" borderId="1" xfId="0" applyNumberFormat="1" applyFont="1" applyFill="1" applyBorder="1"/>
    <xf numFmtId="1" fontId="0" fillId="0" borderId="0" xfId="0" applyNumberFormat="1"/>
    <xf numFmtId="17" fontId="0" fillId="0" borderId="0" xfId="0" applyNumberFormat="1"/>
    <xf numFmtId="6" fontId="0" fillId="4" borderId="0" xfId="0" applyNumberFormat="1" applyFill="1" applyAlignment="1">
      <alignment horizontal="center"/>
    </xf>
    <xf numFmtId="17" fontId="3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8" fontId="2" fillId="4" borderId="0" xfId="1" applyNumberFormat="1" applyFont="1" applyFill="1" applyAlignment="1">
      <alignment horizontal="center"/>
    </xf>
    <xf numFmtId="0" fontId="7" fillId="0" borderId="0" xfId="0" applyFont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4">
    <cellStyle name="Comma" xfId="1" builtinId="3"/>
    <cellStyle name="Hyperlink 2 2" xfId="3" xr:uid="{65F4D5EC-BBED-4161-937E-92BEC05D8A5C}"/>
    <cellStyle name="Normal" xfId="0" builtinId="0"/>
    <cellStyle name="Normal 2" xfId="2" xr:uid="{F4B72106-A066-40E9-ADAE-0F76BCDF2971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s:worksheet xmlns:ns1="http://schemas.openxmlformats.org/markup-compatibility/2006" xmlns:ns2="http://schemas.microsoft.com/office/spreadsheetml/2014/revision" xmlns:s="http://schemas.openxmlformats.org/spreadsheetml/2006/main" ns1:Ignorable="x14ac xr xr2 xr3" ns2:uid="{84C39DF7-35F2-A64D-BD30-5548C1DDC7B3}">
  <s:sheetPr codeName="Sheet1"/>
  <s:dimension ref="A1:G35"/>
  <s:sheetViews>
    <s:sheetView showGridLines="0" zoomScale="85" zoomScaleNormal="85" workbookViewId="0">
      <s:selection activeCell="D3" sqref="D3"/>
    </s:sheetView>
  </s:sheetViews>
  <s:sheetFormatPr defaultColWidth="10.75" defaultRowHeight="15.6"/>
  <s:cols>
    <s:col min="2" max="2" width="9.5" customWidth="1"/>
    <s:col min="3" max="3" width="14.5" bestFit="1" customWidth="1"/>
    <s:col min="4" max="4" width="8.75" bestFit="1" customWidth="1"/>
    <s:col min="5" max="5" width="11.25" customWidth="1"/>
  </s:cols>
  <s:sheetData>
    <s:row r="1"/>
    <s:row r="2" spans="2:5">
      <s:c r="B2" s="6" t="inlineStr">
        <s:is>
          <s:t>Q4) Instructions</s:t>
        </s:is>
      </s:c>
      <s:c r="C2" s="1"/>
      <s:c r="D2" s="1"/>
      <s:c r="E2" s="1"/>
    </s:row>
    <s:row r="3" spans="2:5">
      <s:c r="B3" t="inlineStr">
        <s:is>
          <s:t>Use 2 different formulas to find the revenue for France in each month</s:t>
        </s:is>
      </s:c>
    </s:row>
    <s:row r="4"/>
    <s:row r="5" spans="2:5">
      <s:c r="B5" s="10" t="inlineStr">
        <s:is>
          <s:t>Country</s:t>
        </s:is>
      </s:c>
      <s:c r="C5" s="10" t="inlineStr">
        <s:is>
          <s:t>2023-01-01</s:t>
        </s:is>
      </s:c>
      <s:c r="D5" s="10">
        <s:f>EDATE(C5,1)</s:f>
      </s:c>
      <s:c r="E5" s="8">
        <s:f>EDATE(D5,1)</s:f>
      </s:c>
    </s:row>
    <s:row r="6" spans="2:5">
      <s:c r="B6" s="5" t="inlineStr">
        <s:is>
          <s:t>France</s:t>
        </s:is>
      </s:c>
      <s:c r="C6" s="5">
        <s:f>SUMIFS($F$11:$F$22, $B$11:$B$22, $B6,$C$11:$C$22, C5)</s:f>
      </s:c>
      <s:c r="D6" s="5">
        <s:f>SUMIFS($F$11:$F$22, $B$11:$B$22, $B6,$C$11:$C$22, D5)</s:f>
      </s:c>
      <s:c r="E6" s="9">
        <s:f>SUMIFS($F$11:$F$22, $B$11:$B$22, $B6,$C$11:$C$22, E5)</s:f>
      </s:c>
      <s:c r="F6" t="inlineStr">
        <s:is>
          <s:t>&lt;- Insert first formula</s:t>
        </s:is>
      </s:c>
    </s:row>
    <s:row r="7" spans="2:5">
      <s:c r="B7" s="5" t="inlineStr">
        <s:is>
          <s:t>France</s:t>
        </s:is>
      </s:c>
      <s:c r="C7" s="5">
        <s:f>XLOOKUP($B$7&amp;C5, $B$11:$B$22&amp;$C$11:$C$22,$F$11:$F$22)</s:f>
      </s:c>
      <s:c r="D7" s="5">
        <s:f>XLOOKUP($B$7&amp;D5, $B$11:$B$22&amp;$C$11:$C$22,$F$11:$F$22)</s:f>
      </s:c>
      <s:c r="E7" s="9">
        <s:f>XLOOKUP($B$7&amp;E5, $B$11:$B$22&amp;$C$11:$C$22,$F$11:$F$22)</s:f>
      </s:c>
      <s:c r="F7" t="inlineStr">
        <s:is>
          <s:t>&lt;- Insert second formula</s:t>
        </s:is>
      </s:c>
    </s:row>
    <s:row r="8" spans="2:5">
      <s:c r="B8" s="5"/>
      <s:c r="C8" s="5"/>
      <s:c r="D8" s="5"/>
      <s:c r="E8" s="9"/>
    </s:row>
    <s:row r="9" spans="2:5">
      <s:c r="B9" s="5"/>
      <s:c r="C9" s="5"/>
      <s:c r="D9" s="5"/>
      <s:c r="E9" s="9"/>
    </s:row>
    <s:row r="10" spans="2:5">
      <s:c r="B10" s="5" t="inlineStr">
        <s:is>
          <s:t>Country</s:t>
        </s:is>
      </s:c>
      <s:c r="C10" s="5" t="inlineStr">
        <s:is>
          <s:t>Date</s:t>
        </s:is>
      </s:c>
      <s:c r="D10" s="5" t="inlineStr">
        <s:is>
          <s:t>Quantity</s:t>
        </s:is>
      </s:c>
      <s:c r="E10" s="9" t="inlineStr">
        <s:is>
          <s:t>Price</s:t>
        </s:is>
      </s:c>
      <s:c r="F10" t="inlineStr">
        <s:is>
          <s:t>Revenue</s:t>
        </s:is>
      </s:c>
    </s:row>
    <s:row r="11" spans="2:5">
      <s:c r="B11" s="5" t="inlineStr">
        <s:is>
          <s:t>Mexico</s:t>
        </s:is>
      </s:c>
      <s:c r="C11" s="5" t="inlineStr">
        <s:is>
          <s:t>2023-01-01</s:t>
        </s:is>
      </s:c>
      <s:c r="D11" s="5">
        <s:f>F11/E11</s:f>
      </s:c>
      <s:c r="E11" s="9">
        <s:v>12.99</s:v>
      </s:c>
      <s:c r="F11">
        <s:v>32000</s:v>
      </s:c>
    </s:row>
    <s:row r="12" spans="2:5">
      <s:c r="B12" s="5" t="inlineStr">
        <s:is>
          <s:t>United States</s:t>
        </s:is>
      </s:c>
      <s:c r="C12" s="5" t="inlineStr">
        <s:is>
          <s:t>2023-01-01</s:t>
        </s:is>
      </s:c>
      <s:c r="D12" s="5">
        <s:f>F12/E12</s:f>
      </s:c>
      <s:c r="E12" s="9">
        <s:v>24.95</s:v>
      </s:c>
      <s:c r="F12">
        <s:v>17596</s:v>
      </s:c>
    </s:row>
    <s:row r="13" spans="2:5">
      <s:c r="B13" s="5" t="inlineStr">
        <s:is>
          <s:t>Canada</s:t>
        </s:is>
      </s:c>
      <s:c r="C13" s="5" t="inlineStr">
        <s:is>
          <s:t>2023-01-01</s:t>
        </s:is>
      </s:c>
      <s:c r="D13" s="5">
        <s:f>F13/E13</s:f>
      </s:c>
      <s:c r="E13" s="9">
        <s:v>24.95</s:v>
      </s:c>
      <s:c r="F13">
        <s:v>15522</s:v>
      </s:c>
    </s:row>
    <s:row r="14" spans="2:5">
      <s:c r="B14" s="5" t="inlineStr">
        <s:is>
          <s:t>France</s:t>
        </s:is>
      </s:c>
      <s:c r="C14" s="5" t="inlineStr">
        <s:is>
          <s:t>2023-01-01</s:t>
        </s:is>
      </s:c>
      <s:c r="D14" s="5">
        <s:f>F14/E14</s:f>
      </s:c>
      <s:c r="E14" s="9">
        <s:v>20.5</s:v>
      </s:c>
      <s:c r="F14">
        <s:v>33403</s:v>
      </s:c>
    </s:row>
    <s:row r="15" spans="2:5">
      <s:c r="B15" s="5" t="inlineStr">
        <s:is>
          <s:t>Mexico</s:t>
        </s:is>
      </s:c>
      <s:c r="C15" s="5" t="inlineStr">
        <s:is>
          <s:t>2023-02-01</s:t>
        </s:is>
      </s:c>
      <s:c r="D15" s="5">
        <s:f>F15/E15</s:f>
      </s:c>
      <s:c r="E15" s="9">
        <s:v>19.95</s:v>
      </s:c>
      <s:c r="F15">
        <s:v>35640</s:v>
      </s:c>
    </s:row>
    <s:row r="16" spans="2:5">
      <s:c r="B16" s="5" t="inlineStr">
        <s:is>
          <s:t>United States</s:t>
        </s:is>
      </s:c>
      <s:c r="C16" s="5" t="inlineStr">
        <s:is>
          <s:t>2023-02-01</s:t>
        </s:is>
      </s:c>
      <s:c r="D16" s="5">
        <s:f>F16/E16</s:f>
      </s:c>
      <s:c r="E16" s="9">
        <s:v>19.95</s:v>
      </s:c>
      <s:c r="F16">
        <s:v>20298</s:v>
      </s:c>
    </s:row>
    <s:row r="17" spans="2:5">
      <s:c r="B17" s="5" t="inlineStr">
        <s:is>
          <s:t>Canada</s:t>
        </s:is>
      </s:c>
      <s:c r="C17" s="5" t="inlineStr">
        <s:is>
          <s:t>2023-02-01</s:t>
        </s:is>
      </s:c>
      <s:c r="D17" s="5">
        <s:f>F17/E17</s:f>
      </s:c>
      <s:c r="E17" s="9">
        <s:v>19.95</s:v>
      </s:c>
      <s:c r="F17">
        <s:v>23880</s:v>
      </s:c>
    </s:row>
    <s:row r="18" spans="2:5">
      <s:c r="B18" s="5" t="inlineStr">
        <s:is>
          <s:t>France</s:t>
        </s:is>
      </s:c>
      <s:c r="C18" s="5" t="inlineStr">
        <s:is>
          <s:t>2023-02-01</s:t>
        </s:is>
      </s:c>
      <s:c r="D18" s="5">
        <s:f>F18/E18</s:f>
      </s:c>
      <s:c r="E18" s="9">
        <s:v>22.25</s:v>
      </s:c>
      <s:c r="F18">
        <s:v>22686</s:v>
      </s:c>
    </s:row>
    <s:row r="19" spans="2:5">
      <s:c r="B19" s="5" t="inlineStr">
        <s:is>
          <s:t>Mexico</s:t>
        </s:is>
      </s:c>
      <s:c r="C19" s="5" t="inlineStr">
        <s:is>
          <s:t>2023-03-01</s:t>
        </s:is>
      </s:c>
      <s:c r="D19" s="5">
        <s:f>F19/E19</s:f>
      </s:c>
      <s:c r="E19" s="9">
        <s:v>19.95</s:v>
      </s:c>
      <s:c r="F19">
        <s:v>19104</s:v>
      </s:c>
    </s:row>
    <s:row r="20" spans="2:5">
      <s:c r="B20" s="5" t="inlineStr">
        <s:is>
          <s:t>United States</s:t>
        </s:is>
      </s:c>
      <s:c r="C20" s="5" t="inlineStr">
        <s:is>
          <s:t>2023-03-01</s:t>
        </s:is>
      </s:c>
      <s:c r="D20" s="5">
        <s:f>F20/E20</s:f>
      </s:c>
      <s:c r="E20" s="9">
        <s:v>19.95</s:v>
      </s:c>
      <s:c r="F20">
        <s:v>32413</s:v>
      </s:c>
    </s:row>
    <s:row r="21" spans="2:5">
      <s:c r="B21" s="5" t="inlineStr">
        <s:is>
          <s:t>Canada</s:t>
        </s:is>
      </s:c>
      <s:c r="C21" s="5" t="inlineStr">
        <s:is>
          <s:t>2023-03-01</s:t>
        </s:is>
      </s:c>
      <s:c r="D21" s="5">
        <s:f>F21/E21</s:f>
      </s:c>
      <s:c r="E21" s="9">
        <s:v>19.95</s:v>
      </s:c>
      <s:c r="F21">
        <s:v>35424</s:v>
      </s:c>
    </s:row>
    <s:row r="22" spans="2:5">
      <s:c r="B22" s="5" t="inlineStr">
        <s:is>
          <s:t>France</s:t>
        </s:is>
      </s:c>
      <s:c r="C22" s="5" t="inlineStr">
        <s:is>
          <s:t>2023-03-01</s:t>
        </s:is>
      </s:c>
      <s:c r="D22" s="5">
        <s:f>F22/E22</s:f>
      </s:c>
      <s:c r="E22" s="9">
        <s:v>19.95</s:v>
      </s:c>
      <s:c r="F22">
        <s:v>42588</s:v>
      </s:c>
    </s:row>
    <s:row r="23" spans="2:5">
      <s:c r="B23" s="5"/>
      <s:c r="C23" s="5"/>
      <s:c r="D23" s="5"/>
      <s:c r="E23" s="9"/>
    </s:row>
    <s:row r="24" spans="2:5">
      <s:c r="B24" s="5"/>
      <s:c r="C24" s="5"/>
      <s:c r="D24" s="5"/>
      <s:c r="E24" s="9"/>
    </s:row>
    <s:row r="25" spans="2:5">
      <s:c r="B25" s="5"/>
      <s:c r="C25" s="5"/>
      <s:c r="D25" s="5"/>
      <s:c r="E25" s="9"/>
    </s:row>
    <s:row r="26" spans="2:5">
      <s:c r="B26" s="5"/>
      <s:c r="C26"/>
      <s:c r="D26" s="5"/>
      <s:c r="E26" s="9"/>
    </s:row>
    <s:row r="27" spans="2:5">
      <s:c r="B27" s="5"/>
      <s:c r="C27"/>
      <s:c r="D27" s="5"/>
      <s:c r="E27" s="9"/>
    </s:row>
    <s:row r="28" spans="2:5">
      <s:c r="B28" s="5"/>
      <s:c r="C28"/>
      <s:c r="D28" s="5"/>
      <s:c r="E28" s="9"/>
    </s:row>
    <s:row r="29" spans="2:5">
      <s:c r="B29" s="5"/>
      <s:c r="C29"/>
      <s:c r="D29" s="5"/>
      <s:c r="E29" s="9"/>
    </s:row>
    <s:row r="30" spans="2:5">
      <s:c r="B30" s="5"/>
      <s:c r="C30"/>
      <s:c r="D30" s="5"/>
      <s:c r="E30" s="9"/>
    </s:row>
    <s:row r="31" spans="2:5">
      <s:c r="B31" s="5"/>
      <s:c r="C31"/>
      <s:c r="D31" s="5"/>
      <s:c r="E31" s="9"/>
    </s:row>
    <s:row r="32" spans="2:5">
      <s:c r="B32" s="5"/>
      <s:c r="C32"/>
      <s:c r="D32" s="5"/>
      <s:c r="E32" s="9"/>
    </s:row>
    <s:row r="33" spans="2:5">
      <s:c r="B33" s="5"/>
      <s:c r="C33"/>
      <s:c r="D33" s="5"/>
      <s:c r="E33" s="9"/>
    </s:row>
    <s:row r="34" spans="2:5">
      <s:c r="B34" s="5"/>
      <s:c r="C34"/>
      <s:c r="D34" s="5"/>
      <s:c r="E34" s="9"/>
    </s:row>
    <s:row r="35" spans="2:5">
      <s:c r="B35" s="5"/>
      <s:c r="C35"/>
      <s:c r="D35" s="5"/>
      <s:c r="E35" s="9"/>
    </s:row>
  </s:sheetData>
  <s:conditionalFormatting sqref="E6:E37">
    <s:cfRule type="top10" dxfId="0" priority="1" bottom="1" rank="10"/>
  </s:conditionalFormatting>
  <s:pageMargins left="0.7" right="0.7" top="0.75" bottom="0.75" header="0.3" footer="0.3"/>
</s:worksheet>
</file>

<file path=xl/worksheets/sheet2.xml><?xml version="1.0" encoding="utf-8"?>
<s:worksheet xmlns:ns1="http://schemas.openxmlformats.org/markup-compatibility/2006" xmlns:ns2="http://schemas.microsoft.com/office/spreadsheetml/2014/revision" xmlns:s="http://schemas.openxmlformats.org/spreadsheetml/2006/main" ns1:Ignorable="x14ac xr xr2 xr3" ns2:uid="{15216B05-24BC-E642-9875-A0B3BA9429A7}">
  <s:sheetPr codeName="Sheet2"/>
  <s:dimension ref="A1:K10"/>
  <s:sheetViews>
    <s:sheetView showGridLines="0" zoomScale="150" zoomScaleNormal="150" workbookViewId="0">
      <s:selection activeCell="E10" sqref="E10"/>
    </s:sheetView>
  </s:sheetViews>
  <s:sheetFormatPr defaultColWidth="10.75" defaultRowHeight="15.6"/>
  <s:cols>
    <s:col min="1" max="1" width="7.25" customWidth="1"/>
    <s:col min="2" max="2" width="8.75" customWidth="1"/>
    <s:col min="3" max="3" width="11.75" bestFit="1" customWidth="1"/>
    <s:col min="4" max="4" width="9.25" bestFit="1" customWidth="1"/>
    <s:col min="7" max="7" width="9" customWidth="1"/>
    <s:col min="8" max="8" width="13.25" customWidth="1"/>
  </s:cols>
  <s:sheetData>
    <s:row r="1"/>
    <s:row r="2" spans="2:11">
      <s:c r="B2" s="6" t="inlineStr">
        <s:is>
          <s:t>Q2) Instructions</s:t>
        </s:is>
      </s:c>
      <s:c r="C2" s="1"/>
      <s:c r="D2" s="1"/>
      <s:c r="E2" s="1"/>
      <s:c r="F2" s="1"/>
      <s:c r="G2" s="1"/>
      <s:c r="H2" s="1"/>
      <s:c r="I2" s="1"/>
      <s:c r="J2" s="1"/>
      <s:c r="K2" s="1"/>
    </s:row>
    <s:row r="3" spans="2:11">
      <s:c r="B3" t="inlineStr">
        <s:is>
          <s:t>Fill orange area using a formula that can be copied down to accept or reject a project based on the mimimum requirements</s:t>
        </s:is>
      </s:c>
    </s:row>
    <s:row r="4"/>
    <s:row r="5" spans="2:11">
      <s:c r="B5" s="2" t="inlineStr">
        <s:is>
          <s:t>Projects</s:t>
        </s:is>
      </s:c>
      <s:c r="C5" s="2" t="inlineStr">
        <s:is>
          <s:t>Revenue Est.</s:t>
        </s:is>
      </s:c>
      <s:c r="D5" s="2" t="inlineStr">
        <s:is>
          <s:t>Profit Est.</s:t>
        </s:is>
      </s:c>
      <s:c r="E5" s="27" t="inlineStr">
        <s:is>
          <s:t>Decision</s:t>
        </s:is>
      </s:c>
      <s:c r="G5" s="28" t="inlineStr">
        <s:is>
          <s:t>Minimum Requirements</s:t>
        </s:is>
      </s:c>
      <s:c r="H5" s="28"/>
    </s:row>
    <s:row r="6" spans="2:11">
      <s:c r="B6" s="3" t="inlineStr">
        <s:is>
          <s:t>Project A</s:t>
        </s:is>
      </s:c>
      <s:c r="C6" s="4">
        <s:v>550000</s:v>
      </s:c>
      <s:c r="D6" s="4">
        <s:v>30000</s:v>
      </s:c>
      <s:c r="E6" s="24">
        <s:f>IF(AND(C6&gt;=$H$6, D6&gt;=$H$7), "Accepted", "Rejected")</s:f>
      </s:c>
      <s:c r="G6" t="inlineStr">
        <s:is>
          <s:t>Revenue</s:t>
        </s:is>
      </s:c>
      <s:c r="H6" s="4">
        <s:v>500000</s:v>
      </s:c>
    </s:row>
    <s:row r="7" spans="2:11">
      <s:c r="B7" s="3" t="inlineStr">
        <s:is>
          <s:t>Project B</s:t>
        </s:is>
      </s:c>
      <s:c r="C7" s="4">
        <s:v>450000</s:v>
      </s:c>
      <s:c r="D7" s="4">
        <s:v>350000</s:v>
      </s:c>
      <s:c r="E7" s="24">
        <s:f t="shared" ref="E7:E10" si="0">IF(AND(C7&gt;=$H$6, D7&gt;=$H$7), "Accepted", "Rejected")</s:f>
      </s:c>
      <s:c r="G7" t="inlineStr">
        <s:is>
          <s:t>Profit</s:t>
        </s:is>
      </s:c>
      <s:c r="H7" s="4">
        <s:v>25000</s:v>
      </s:c>
    </s:row>
    <s:row r="8" spans="2:11">
      <s:c r="B8" s="3" t="inlineStr">
        <s:is>
          <s:t>Project C</s:t>
        </s:is>
      </s:c>
      <s:c r="C8" s="4">
        <s:v>295800</s:v>
      </s:c>
      <s:c r="D8" s="4">
        <s:v>45800</s:v>
      </s:c>
      <s:c r="E8" s="24">
        <s:f t="shared" si="0">IF(AND(C8&gt;=$H$6, D8&gt;=$H$7), "Accepted", "Rejected")</s:f>
      </s:c>
    </s:row>
    <s:row r="9" spans="2:11">
      <s:c r="B9" s="3" t="inlineStr">
        <s:is>
          <s:t>Project D</s:t>
        </s:is>
      </s:c>
      <s:c r="C9" s="4">
        <s:v>780500</s:v>
      </s:c>
      <s:c r="D9" s="4">
        <s:v>50250</s:v>
      </s:c>
      <s:c r="E9" s="24">
        <s:f t="shared" si="0">IF(AND(C9&gt;=$H$6, D9&gt;=$H$7), "Accepted", "Rejected")</s:f>
      </s:c>
    </s:row>
    <s:row r="10" spans="2:11">
      <s:c r="B10" s="3" t="inlineStr">
        <s:is>
          <s:t>Project E</s:t>
        </s:is>
      </s:c>
      <s:c r="C10" s="4">
        <s:v>805000</s:v>
      </s:c>
      <s:c r="D10" s="4">
        <s:v>12500</s:v>
      </s:c>
      <s:c r="E10" s="24">
        <s:f t="shared" si="0">IF(AND(C10&gt;=$H$6, D10&gt;=$H$7), "Accepted", "Rejected")</s:f>
      </s:c>
    </s:row>
  </s:sheetData>
  <s:mergeCells count="1">
    <s:mergeCell ref="G5:H5"/>
  </s:mergeCells>
  <s:pageMargins left="0.7" right="0.7" top="0.75" bottom="0.75" header="0.3" footer="0.3"/>
</s:worksheet>
</file>

<file path=xl/worksheets/sheet3.xml><?xml version="1.0" encoding="utf-8"?>
<s:worksheet xmlns:ns1="http://schemas.openxmlformats.org/markup-compatibility/2006" xmlns:ns2="http://schemas.microsoft.com/office/spreadsheetml/2014/revision" xmlns:s="http://schemas.openxmlformats.org/spreadsheetml/2006/main" ns1:Ignorable="x14ac xr xr2 xr3" ns2:uid="{7C0EE861-84DD-AA4B-8CBC-A00AE9A60A09}">
  <s:sheetPr codeName="Sheet3"/>
  <s:dimension ref="A1:F15"/>
  <s:sheetViews>
    <s:sheetView showGridLines="0" tabSelected="1" zoomScale="102" zoomScaleNormal="102" workbookViewId="0">
      <s:selection activeCell="D19" sqref="D19"/>
    </s:sheetView>
  </s:sheetViews>
  <s:sheetFormatPr defaultColWidth="10.75" defaultRowHeight="15.6"/>
  <s:cols>
    <s:col min="2" max="2" width="19.75" customWidth="1"/>
    <s:col min="3" max="3" width="9.75" customWidth="1"/>
    <s:col min="4" max="4" width="6.75" customWidth="1"/>
  </s:cols>
  <s:sheetData>
    <s:row r="1"/>
    <s:row r="2" spans="2:6">
      <s:c r="B2" s="6" t="inlineStr">
        <s:is>
          <s:t>Q3) Instructions</s:t>
        </s:is>
      </s:c>
      <s:c r="C2" s="1"/>
      <s:c r="D2" s="1"/>
      <s:c r="E2" s="1"/>
      <s:c r="F2" s="1"/>
    </s:row>
    <s:row r="3" spans="2:6">
      <s:c r="B3" t="inlineStr">
        <s:is>
          <s:t>Find the number of shirts we need to sell to reach $5,000 in profit</s:t>
        </s:is>
      </s:c>
    </s:row>
    <s:row r="4"/>
    <s:row r="5" spans="2:6">
      <s:c r="B5" s="28" t="inlineStr">
        <s:is>
          <s:t>Assumptions</s:t>
        </s:is>
      </s:c>
      <s:c r="C5" s="28"/>
    </s:row>
    <s:row r="6" spans="2:6">
      <s:c r="B6" t="inlineStr">
        <s:is>
          <s:t>Price per shirt</s:t>
        </s:is>
      </s:c>
      <s:c r="C6" s="16">
        <s:v>29.99</s:v>
      </s:c>
      <s:c r="D6" s="12"/>
      <s:c r="E6" s="4"/>
    </s:row>
    <s:row r="7" spans="2:6">
      <s:c r="B7" t="inlineStr">
        <s:is>
          <s:t>Cost per Unit</s:t>
        </s:is>
      </s:c>
      <s:c r="C7" s="16">
        <s:v>8.5</s:v>
      </s:c>
      <s:c r="D7" s="12"/>
    </s:row>
    <s:row r="8" spans="2:6">
      <s:c r="B8" t="inlineStr">
        <s:is>
          <s:t>Fixed Cost</s:t>
        </s:is>
      </s:c>
      <s:c r="C8" s="17">
        <s:v>15000</s:v>
      </s:c>
      <s:c r="D8" s="11"/>
    </s:row>
    <s:row r="9" spans="2:6">
      <s:c r="B9" s="13"/>
      <s:c r="C9" s="12"/>
    </s:row>
    <s:row r="10" spans="2:6">
      <s:c r="B10" s="28" t="inlineStr">
        <s:is>
          <s:t>Profitability</s:t>
        </s:is>
      </s:c>
      <s:c r="C10" s="28"/>
    </s:row>
    <s:row r="11" spans="2:6">
      <s:c r="B11" s="3" t="inlineStr">
        <s:is>
          <s:t>Units Sold</s:t>
        </s:is>
      </s:c>
      <s:c r="C11" s="25">
        <s:f>ROUND((C8 + 5000) / (C6-C7), 0)</s:f>
      </s:c>
      <s:c r="D11" t="inlineStr">
        <s:is>
          <s:t>&lt;- Change units to reach 5k in profit</s:t>
        </s:is>
      </s:c>
    </s:row>
    <s:row r="12" spans="2:6">
      <s:c r="B12" s="3" t="inlineStr">
        <s:is>
          <s:t>Revenue</s:t>
        </s:is>
      </s:c>
      <s:c r="C12" s="14">
        <s:f>C6*C11</s:f>
      </s:c>
    </s:row>
    <s:row r="13" spans="2:6">
      <s:c r="B13" s="3" t="inlineStr">
        <s:is>
          <s:t>Variable Cost</s:t>
        </s:is>
      </s:c>
      <s:c r="C13" s="14">
        <s:f>-C11*C7</s:f>
      </s:c>
    </s:row>
    <s:row r="14" spans="2:6">
      <s:c r="B14" s="3" t="inlineStr">
        <s:is>
          <s:t>Fixed Cost</s:t>
        </s:is>
      </s:c>
      <s:c r="C14" s="14">
        <s:f>-C8</s:f>
      </s:c>
    </s:row>
    <s:row r="15" spans="2:6">
      <s:c r="B15" s="18" t="inlineStr">
        <s:is>
          <s:t>Profit</s:t>
        </s:is>
      </s:c>
      <s:c r="C15" s="19">
        <s:f>SUM(C12:C14)</s:f>
      </s:c>
    </s:row>
  </s:sheetData>
  <s:mergeCells count="2">
    <s:mergeCell ref="B5:C5"/>
    <s:mergeCell ref="B10:C10"/>
  </s:mergeCells>
  <s:pageMargins left="0.7" right="0.7" top="0.75" bottom="0.75" header="0.3" footer="0.3"/>
</s:worksheet>
</file>

<file path=xl/worksheets/sheet4.xml><?xml version="1.0" encoding="utf-8"?>
<s:worksheet xmlns:ns1="http://schemas.openxmlformats.org/markup-compatibility/2006" xmlns:ns2="http://schemas.microsoft.com/office/spreadsheetml/2014/revision" xmlns:s="http://schemas.openxmlformats.org/spreadsheetml/2006/main" ns1:Ignorable="x14ac xr xr2 xr3" ns2:uid="{17FCE6B3-66FE-C340-BDD7-8222E316DB03}">
  <s:sheetPr codeName="Sheet4"/>
  <s:dimension ref="A1:G22"/>
  <s:sheetViews>
    <s:sheetView showGridLines="0" zoomScale="150" zoomScaleNormal="150" workbookViewId="0">
      <s:selection activeCell="H16" sqref="H16"/>
    </s:sheetView>
  </s:sheetViews>
  <s:sheetFormatPr defaultColWidth="10.75" defaultRowHeight="15.6"/>
  <s:cols>
    <s:col min="6" max="6" width="18" bestFit="1" customWidth="1"/>
  </s:cols>
  <s:sheetData>
    <s:row r="1"/>
    <s:row r="2" spans="2:7">
      <s:c r="B2" s="6" t="inlineStr">
        <s:is>
          <s:t>Q4) Instructions</s:t>
        </s:is>
      </s:c>
      <s:c r="C2" s="1"/>
      <s:c r="D2" s="1"/>
      <s:c r="E2" s="1"/>
      <s:c r="F2" s="1"/>
      <s:c r="G2" s="1"/>
    </s:row>
    <s:row r="3" spans="2:7">
      <s:c r="B3" t="inlineStr">
        <s:is>
          <s:t>Use 2 different formulas to find the revenue for France in each month</s:t>
        </s:is>
      </s:c>
    </s:row>
    <s:row r="4"/>
    <s:row r="5" spans="2:7">
      <s:c r="B5" s="2" t="inlineStr">
        <s:is>
          <s:t>Country</s:t>
        </s:is>
      </s:c>
      <s:c r="C5" s="23" t="inlineStr">
        <s:is>
          <s:t>2023-01-01</s:t>
        </s:is>
      </s:c>
      <s:c r="D5" s="23">
        <s:f>EDATE(C5,1)</s:f>
      </s:c>
      <s:c r="E5" s="23">
        <s:f>EDATE(D5,1)</s:f>
      </s:c>
    </s:row>
    <s:row r="6" spans="2:7" ht="15.75">
      <s:c r="B6" t="inlineStr">
        <s:is>
          <s:t>France</s:t>
        </s:is>
      </s:c>
      <s:c r="C6" s="22">
        <s:f>SUMIFS($F$11:$F$22, $B$11:$B$22, $B6,$C$11:$C$22, C5)</s:f>
      </s:c>
      <s:c r="D6" s="22">
        <s:f t="shared" ref="D6:E6" si="0">SUMIFS($F$11:$F$22, $B$11:$B$22, $B6,$C$11:$C$22, D5)</s:f>
      </s:c>
      <s:c r="E6" s="22">
        <s:f>SUMIFS($F$11:$F$22, $B$11:$B$22, $B6,$C$11:$C$22, E5)</s:f>
      </s:c>
      <s:c r="F6" s="26" t="inlineStr">
        <s:is>
          <s:t>&lt;- Insert first formula</s:t>
        </s:is>
      </s:c>
    </s:row>
    <s:row r="7" spans="2:7">
      <s:c r="B7" t="inlineStr">
        <s:is>
          <s:t>France</s:t>
        </s:is>
      </s:c>
      <s:c r="C7" s="22" cm="1">
        <s:f t="array" ref="C7">XLOOKUP($B$7&amp;C5, $B$11:$B$22&amp;$C$11:$C$22,$F$11:$F$22)</s:f>
      </s:c>
      <s:c r="D7" s="22" cm="1">
        <s:f t="array" ref="D7">XLOOKUP($B$7&amp;D5, $B$11:$B$22&amp;$C$11:$C$22,$F$11:$F$22)</s:f>
      </s:c>
      <s:c r="E7" s="22" cm="1">
        <s:f t="array" ref="E7">XLOOKUP($B$7&amp;E5, $B$11:$B$22&amp;$C$11:$C$22,$F$11:$F$22)</s:f>
      </s:c>
      <s:c r="F7" t="inlineStr">
        <s:is>
          <s:t>&lt;- Insert second formula</s:t>
        </s:is>
      </s:c>
    </s:row>
    <s:row r="8"/>
    <s:row r="9"/>
    <s:row r="10" spans="2:7" s="5" customFormat="1">
      <s:c r="B10" s="27" t="inlineStr">
        <s:is>
          <s:t>Country</s:t>
        </s:is>
      </s:c>
      <s:c r="C10" s="27" t="inlineStr">
        <s:is>
          <s:t>Date</s:t>
        </s:is>
      </s:c>
      <s:c r="D10" s="27" t="inlineStr">
        <s:is>
          <s:t>Quantity</s:t>
        </s:is>
      </s:c>
      <s:c r="E10" s="27" t="inlineStr">
        <s:is>
          <s:t>Price</s:t>
        </s:is>
      </s:c>
      <s:c r="F10" s="27" t="inlineStr">
        <s:is>
          <s:t>Revenue</s:t>
        </s:is>
      </s:c>
    </s:row>
    <s:row r="11" spans="2:7">
      <s:c r="B11" s="3" t="inlineStr">
        <s:is>
          <s:t>Mexico</s:t>
        </s:is>
      </s:c>
      <s:c r="C11" s="21" t="inlineStr">
        <s:is>
          <s:t>2023-01-01</s:t>
        </s:is>
      </s:c>
      <s:c r="D11" s="20">
        <s:f>F11/E11</s:f>
      </s:c>
      <s:c r="E11" s="15">
        <s:v>12.99</s:v>
      </s:c>
      <s:c r="F11" s="7">
        <s:v>32000</s:v>
      </s:c>
    </s:row>
    <s:row r="12" spans="2:7">
      <s:c r="B12" s="3" t="inlineStr">
        <s:is>
          <s:t>United States</s:t>
        </s:is>
      </s:c>
      <s:c r="C12" s="21" t="inlineStr">
        <s:is>
          <s:t>2023-01-01</s:t>
        </s:is>
      </s:c>
      <s:c r="D12" s="20">
        <s:f t="shared" ref="D12:D21" si="1">F12/E12</s:f>
      </s:c>
      <s:c r="E12" s="15">
        <s:v>24.95</s:v>
      </s:c>
      <s:c r="F12" s="7">
        <s:v>17596</s:v>
      </s:c>
    </s:row>
    <s:row r="13" spans="2:7">
      <s:c r="B13" s="3" t="inlineStr">
        <s:is>
          <s:t>Canada</s:t>
        </s:is>
      </s:c>
      <s:c r="C13" s="21" t="inlineStr">
        <s:is>
          <s:t>2023-01-01</s:t>
        </s:is>
      </s:c>
      <s:c r="D13" s="20">
        <s:f t="shared" si="1">F13/E13</s:f>
      </s:c>
      <s:c r="E13" s="15">
        <s:v>24.95</s:v>
      </s:c>
      <s:c r="F13" s="7">
        <s:v>15522</s:v>
      </s:c>
    </s:row>
    <s:row r="14" spans="2:7">
      <s:c r="B14" s="3" t="inlineStr">
        <s:is>
          <s:t>France</s:t>
        </s:is>
      </s:c>
      <s:c r="C14" s="21" t="inlineStr">
        <s:is>
          <s:t>2023-01-01</s:t>
        </s:is>
      </s:c>
      <s:c r="D14" s="20">
        <s:f t="shared" si="1">F14/E14</s:f>
      </s:c>
      <s:c r="E14" s="15">
        <s:v>19.95</s:v>
      </s:c>
      <s:c r="F14" s="7">
        <s:v>33403</s:v>
      </s:c>
    </s:row>
    <s:row r="15" spans="2:7">
      <s:c r="B15" s="3" t="inlineStr">
        <s:is>
          <s:t>Mexico</s:t>
        </s:is>
      </s:c>
      <s:c r="C15" s="21" t="inlineStr">
        <s:is>
          <s:t>2023-02-01</s:t>
        </s:is>
      </s:c>
      <s:c r="D15" s="20">
        <s:f t="shared" si="1">F15/E15</s:f>
      </s:c>
      <s:c r="E15" s="15">
        <s:v>19.95</s:v>
      </s:c>
      <s:c r="F15" s="7">
        <s:v>35640</s:v>
      </s:c>
    </s:row>
    <s:row r="16" spans="2:7">
      <s:c r="B16" s="3" t="inlineStr">
        <s:is>
          <s:t>United States</s:t>
        </s:is>
      </s:c>
      <s:c r="C16" s="21" t="inlineStr">
        <s:is>
          <s:t>2023-02-01</s:t>
        </s:is>
      </s:c>
      <s:c r="D16" s="20">
        <s:f t="shared" si="1">F16/E16</s:f>
      </s:c>
      <s:c r="E16" s="15">
        <s:v>19.95</s:v>
      </s:c>
      <s:c r="F16" s="7">
        <s:v>20298</s:v>
      </s:c>
    </s:row>
    <s:row r="17" spans="2:6">
      <s:c r="B17" s="3" t="inlineStr">
        <s:is>
          <s:t>Canada</s:t>
        </s:is>
      </s:c>
      <s:c r="C17" s="21" t="inlineStr">
        <s:is>
          <s:t>2023-02-01</s:t>
        </s:is>
      </s:c>
      <s:c r="D17" s="20">
        <s:f t="shared" si="1">F17/E17</s:f>
      </s:c>
      <s:c r="E17" s="15">
        <s:v>19.95</s:v>
      </s:c>
      <s:c r="F17" s="7">
        <s:v>23880</s:v>
      </s:c>
    </s:row>
    <s:row r="18" spans="2:6">
      <s:c r="B18" s="3" t="inlineStr">
        <s:is>
          <s:t>France</s:t>
        </s:is>
      </s:c>
      <s:c r="C18" s="21" t="inlineStr">
        <s:is>
          <s:t>2023-02-01</s:t>
        </s:is>
      </s:c>
      <s:c r="D18" s="20">
        <s:f t="shared" si="1">F18/E18</s:f>
      </s:c>
      <s:c r="E18" s="15">
        <s:v>22.25</s:v>
      </s:c>
      <s:c r="F18" s="7">
        <s:v>22686</s:v>
      </s:c>
    </s:row>
    <s:row r="19" spans="2:6">
      <s:c r="B19" s="3" t="inlineStr">
        <s:is>
          <s:t>Mexico</s:t>
        </s:is>
      </s:c>
      <s:c r="C19" s="21" t="inlineStr">
        <s:is>
          <s:t>2023-03-01</s:t>
        </s:is>
      </s:c>
      <s:c r="D19" s="20">
        <s:f t="shared" si="1">F19/E19</s:f>
      </s:c>
      <s:c r="E19" s="15">
        <s:v>19.95</s:v>
      </s:c>
      <s:c r="F19" s="7">
        <s:v>19104</s:v>
      </s:c>
    </s:row>
    <s:row r="20" spans="2:6">
      <s:c r="B20" s="3" t="inlineStr">
        <s:is>
          <s:t>United States</s:t>
        </s:is>
      </s:c>
      <s:c r="C20" s="21" t="inlineStr">
        <s:is>
          <s:t>2023-03-01</s:t>
        </s:is>
      </s:c>
      <s:c r="D20" s="20">
        <s:f t="shared" si="1">F20/E20</s:f>
      </s:c>
      <s:c r="E20" s="15">
        <s:v>19.95</s:v>
      </s:c>
      <s:c r="F20" s="7">
        <s:v>32413</s:v>
      </s:c>
    </s:row>
    <s:row r="21" spans="2:6">
      <s:c r="B21" s="3" t="inlineStr">
        <s:is>
          <s:t>Canada</s:t>
        </s:is>
      </s:c>
      <s:c r="C21" s="21" t="inlineStr">
        <s:is>
          <s:t>2023-03-01</s:t>
        </s:is>
      </s:c>
      <s:c r="D21" s="20">
        <s:f t="shared" si="1">F21/E21</s:f>
      </s:c>
      <s:c r="E21" s="15">
        <s:v>19.95</s:v>
      </s:c>
      <s:c r="F21" s="7">
        <s:v>35424</s:v>
      </s:c>
    </s:row>
    <s:row r="22" spans="2:6">
      <s:c r="B22" s="3" t="inlineStr">
        <s:is>
          <s:t>France</s:t>
        </s:is>
      </s:c>
      <s:c r="C22" s="21" t="inlineStr">
        <s:is>
          <s:t>2023-03-01</s:t>
        </s:is>
      </s:c>
      <s:c r="D22" s="20">
        <s:f t="shared" ref="D22" si="2">F22/E22</s:f>
      </s:c>
      <s:c r="E22" s="15">
        <s:v>19.95</s:v>
      </s:c>
      <s:c r="F22" s="7">
        <s:v>42588</s:v>
      </s:c>
    </s:row>
  </s:sheetData>
  <s:pageMargins left="0.7" right="0.7" top="0.75" bottom="0.75" header="0.3" footer="0.3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2023-04-17T08:35:45Z</dcterms:created>
  <dcterms:modified xsi:type="dcterms:W3CDTF">2026-04-19T18:14:11Z</dcterms:modified>
  <cp:category/>
  <cp:contentStatus/>
</cp:coreProperties>
</file>